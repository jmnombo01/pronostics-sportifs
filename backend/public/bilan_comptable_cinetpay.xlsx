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_Comptable_2026" sheetId="1" state="visible" r:id="rId1"/>
    <sheet xmlns:r="http://schemas.openxmlformats.org/officeDocument/2006/relationships" name="Journal_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FCFA&quot;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D4AF37"/>
      <sz val="16"/>
    </font>
    <font>
      <name val="Calibri"/>
      <i val="1"/>
      <color rgb="00555555"/>
      <sz val="11"/>
    </font>
    <font>
      <name val="Calibri"/>
      <b val="1"/>
      <color rgb="00111115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11115"/>
        <bgColor rgb="00111115"/>
      </patternFill>
    </fill>
    <fill>
      <patternFill patternType="solid">
        <fgColor rgb="00F3E5AB"/>
        <bgColor rgb="00F3E5AB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111115"/>
      </top>
      <bottom style="double">
        <color rgb="0011111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center"/>
    </xf>
    <xf numFmtId="0" fontId="6" fillId="3" borderId="2" pivotButton="0" quotePrefix="0" xfId="0"/>
    <xf numFmtId="3" fontId="6" fillId="3" borderId="2" pivotButton="0" quotePrefix="0" xfId="0"/>
    <xf numFmtId="164" fontId="6" fillId="3" borderId="2" pivotButton="0" quotePrefix="0" xfId="0"/>
    <xf numFmtId="165" fontId="6" fillId="3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43" customWidth="1" min="2" max="2"/>
    <col width="26" customWidth="1" min="3" max="3"/>
    <col width="29" customWidth="1" min="4" max="4"/>
    <col width="24" customWidth="1" min="5" max="5"/>
  </cols>
  <sheetData>
    <row r="1">
      <c r="A1" s="1" t="inlineStr">
        <is>
          <t>👑 FROGAZZ SPORT ANALYSE - BILAN COMPTABLE (MODE RÉEL)</t>
        </is>
      </c>
    </row>
    <row r="2">
      <c r="A2" s="2" t="inlineStr">
        <is>
          <t>Export généré automatiquement depuis le serveur Laravel 12 / CinetPay API</t>
        </is>
      </c>
    </row>
    <row r="3"/>
    <row r="4">
      <c r="A4" s="3" t="inlineStr">
        <is>
          <t>1. CHIFFRE D'AFFAIRES PAR OPÉRATEUR DE PAIEMENT</t>
        </is>
      </c>
    </row>
    <row r="5">
      <c r="A5" s="4" t="inlineStr">
        <is>
          <t>Opérateur CinetPay</t>
        </is>
      </c>
      <c r="B5" s="5" t="inlineStr">
        <is>
          <t>Canal</t>
        </is>
      </c>
      <c r="C5" s="5" t="inlineStr">
        <is>
          <t>Nombre de Transactions</t>
        </is>
      </c>
      <c r="D5" s="5" t="inlineStr">
        <is>
          <t>Chiffre d'Affaires (FCFA)</t>
        </is>
      </c>
      <c r="E5" s="5" t="inlineStr">
        <is>
          <t>Part du Total (%)</t>
        </is>
      </c>
    </row>
    <row r="6">
      <c r="A6" s="6" t="inlineStr">
        <is>
          <t>Orange Money (Burkina Faso)</t>
        </is>
      </c>
      <c r="B6" s="6" t="inlineStr">
        <is>
          <t>MOBILE_MONEY</t>
        </is>
      </c>
      <c r="C6" s="7" t="n">
        <v>420</v>
      </c>
      <c r="D6" s="8" t="n">
        <v>840000</v>
      </c>
      <c r="E6" s="9" t="n">
        <v>0.4118</v>
      </c>
    </row>
    <row r="7">
      <c r="A7" s="6" t="inlineStr">
        <is>
          <t>MTN Mobile Money</t>
        </is>
      </c>
      <c r="B7" s="6" t="inlineStr">
        <is>
          <t>MOBILE_MONEY</t>
        </is>
      </c>
      <c r="C7" s="7" t="n">
        <v>310</v>
      </c>
      <c r="D7" s="8" t="n">
        <v>620000</v>
      </c>
      <c r="E7" s="9" t="n">
        <v>0.3039</v>
      </c>
    </row>
    <row r="8">
      <c r="A8" s="6" t="inlineStr">
        <is>
          <t>Moov Money</t>
        </is>
      </c>
      <c r="B8" s="6" t="inlineStr">
        <is>
          <t>MOBILE_MONEY</t>
        </is>
      </c>
      <c r="C8" s="7" t="n">
        <v>180</v>
      </c>
      <c r="D8" s="8" t="n">
        <v>360000</v>
      </c>
      <c r="E8" s="9" t="n">
        <v>0.1765</v>
      </c>
    </row>
    <row r="9">
      <c r="A9" s="6" t="inlineStr">
        <is>
          <t>Airtel Money</t>
        </is>
      </c>
      <c r="B9" s="6" t="inlineStr">
        <is>
          <t>MOBILE_MONEY</t>
        </is>
      </c>
      <c r="C9" s="7" t="n">
        <v>60</v>
      </c>
      <c r="D9" s="8" t="n">
        <v>120000</v>
      </c>
      <c r="E9" s="9" t="n">
        <v>0.0588</v>
      </c>
    </row>
    <row r="10">
      <c r="A10" s="6" t="inlineStr">
        <is>
          <t>Carte Bancaire (Visa / Mastercard)</t>
        </is>
      </c>
      <c r="B10" s="6" t="inlineStr">
        <is>
          <t>CREDIT_CARD</t>
        </is>
      </c>
      <c r="C10" s="7" t="n">
        <v>50</v>
      </c>
      <c r="D10" s="8" t="n">
        <v>100000</v>
      </c>
      <c r="E10" s="9" t="n">
        <v>0.049</v>
      </c>
    </row>
    <row r="11">
      <c r="A11" s="10" t="inlineStr">
        <is>
          <t>TOTAL GÉNÉRAL</t>
        </is>
      </c>
      <c r="B11" s="10" t="inlineStr">
        <is>
          <t>TOUS CANAUX</t>
        </is>
      </c>
      <c r="C11" s="11">
        <f>SUM(C6:C10)</f>
        <v/>
      </c>
      <c r="D11" s="12">
        <f>SUM(D6:D10)</f>
        <v/>
      </c>
      <c r="E11" s="13">
        <f>SUM(E6:E10)</f>
        <v/>
      </c>
    </row>
    <row r="12"/>
    <row r="13"/>
    <row r="14">
      <c r="A14" s="3" t="inlineStr">
        <is>
          <t>2. CHIFFRE D'AFFAIRES PAR FORFAIT D'ABONNEMENT</t>
        </is>
      </c>
    </row>
    <row r="15">
      <c r="A15" s="4" t="inlineStr">
        <is>
          <t>Code Forfait</t>
        </is>
      </c>
      <c r="B15" s="4" t="inlineStr">
        <is>
          <t>Nom de l'Offre</t>
        </is>
      </c>
      <c r="C15" s="5" t="inlineStr">
        <is>
          <t>Prix Unitaire (FCFA)</t>
        </is>
      </c>
      <c r="D15" s="5" t="inlineStr">
        <is>
          <t>Nombre de Souscriptions</t>
        </is>
      </c>
      <c r="E15" s="5" t="inlineStr">
        <is>
          <t>Total Revenus (FCFA)</t>
        </is>
      </c>
    </row>
    <row r="16">
      <c r="A16" s="6" t="inlineStr">
        <is>
          <t>VIP</t>
        </is>
      </c>
      <c r="B16" s="6" t="inlineStr">
        <is>
          <t>👑 Forfait VIP Mensuel (Côtes 5, 10, 50)</t>
        </is>
      </c>
      <c r="C16" s="8" t="n">
        <v>2000</v>
      </c>
      <c r="D16" s="7" t="n">
        <v>710</v>
      </c>
      <c r="E16" s="8" t="n">
        <v>1420000</v>
      </c>
    </row>
    <row r="17">
      <c r="A17" s="6" t="inlineStr">
        <is>
          <t>MONTANTE</t>
        </is>
      </c>
      <c r="B17" s="6" t="inlineStr">
        <is>
          <t>📈 Forfait Montante Hebdomadaire</t>
        </is>
      </c>
      <c r="C17" s="8" t="n">
        <v>2000</v>
      </c>
      <c r="D17" s="7" t="n">
        <v>310</v>
      </c>
      <c r="E17" s="8" t="n">
        <v>620000</v>
      </c>
    </row>
    <row r="18">
      <c r="A18" s="10" t="inlineStr">
        <is>
          <t>TOTAL ABONNEMENTS</t>
        </is>
      </c>
      <c r="B18" s="14" t="n"/>
      <c r="C18" s="14" t="n"/>
      <c r="D18" s="11">
        <f>SUM(D16:D17)</f>
        <v/>
      </c>
      <c r="E18" s="12">
        <f>SUM(E16:E17)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5" customWidth="1" min="2" max="2"/>
    <col width="17" customWidth="1" min="3" max="3"/>
    <col width="20" customWidth="1" min="4" max="4"/>
    <col width="16" customWidth="1" min="5" max="5"/>
    <col width="15" customWidth="1" min="6" max="6"/>
    <col width="22" customWidth="1" min="7" max="7"/>
    <col width="18" customWidth="1" min="8" max="8"/>
    <col width="15" customWidth="1" min="9" max="9"/>
    <col width="22" customWidth="1" min="10" max="10"/>
    <col width="22" customWidth="1" min="11" max="11"/>
  </cols>
  <sheetData>
    <row r="1">
      <c r="A1" s="1" t="inlineStr">
        <is>
          <t>👑 JOURNAL DES TRANSACTIONS CINETPAY (MOBILE MONEY &amp; CARTE BANCAIRE)</t>
        </is>
      </c>
    </row>
    <row r="2"/>
    <row r="3">
      <c r="A3" s="5" t="inlineStr">
        <is>
          <t>ID Transaction</t>
        </is>
      </c>
      <c r="B3" s="5" t="inlineStr">
        <is>
          <t>ID Client</t>
        </is>
      </c>
      <c r="C3" s="5" t="inlineStr">
        <is>
          <t>Nom et Prénom</t>
        </is>
      </c>
      <c r="D3" s="5" t="inlineStr">
        <is>
          <t>Téléphone Mobile</t>
        </is>
      </c>
      <c r="E3" s="5" t="inlineStr">
        <is>
          <t>Email Client</t>
        </is>
      </c>
      <c r="F3" s="5" t="inlineStr">
        <is>
          <t>Forfait</t>
        </is>
      </c>
      <c r="G3" s="5" t="inlineStr">
        <is>
          <t>Opérateur CinetPay</t>
        </is>
      </c>
      <c r="H3" s="5" t="inlineStr">
        <is>
          <t>Montant (FCFA)</t>
        </is>
      </c>
      <c r="I3" s="5" t="inlineStr">
        <is>
          <t>Code Promo</t>
        </is>
      </c>
      <c r="J3" s="5" t="inlineStr">
        <is>
          <t>Statut Transaction</t>
        </is>
      </c>
      <c r="K3" s="5" t="inlineStr">
        <is>
          <t>Date &amp; Heure (GMT)</t>
        </is>
      </c>
    </row>
    <row r="4">
      <c r="A4" s="10" t="inlineStr">
        <is>
          <t>TOTAL ENCAISSÉ</t>
        </is>
      </c>
      <c r="B4" s="14" t="n"/>
      <c r="C4" s="14" t="n"/>
      <c r="D4" s="14" t="n"/>
      <c r="E4" s="14" t="n"/>
      <c r="F4" s="14" t="n"/>
      <c r="G4" s="14" t="n"/>
      <c r="H4" s="12">
        <f>SUM(H4:H3)</f>
        <v/>
      </c>
      <c r="I4" s="14" t="n"/>
      <c r="J4" s="14" t="n"/>
      <c r="K4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2026-08-21T10:00:53Z</dcterms:created>
  <dcterms:modified xmlns:dcterms="http://purl.org/dc/terms/" xmlns:xsi="http://www.w3.org/2001/XMLSchema-instance" xsi:type="dcterms:W3CDTF">2026-08-21T10:00:53Z</dcterms:modified>
</cp:coreProperties>
</file>